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 tabRatio="231"/>
  </bookViews>
  <sheets>
    <sheet name="Sheet1" sheetId="1" r:id="rId1"/>
    <sheet name="Sheet2" sheetId="4" r:id="rId2"/>
    <sheet name="Sheet3" sheetId="2" r:id="rId3"/>
  </sheets>
  <calcPr calcId="124519"/>
</workbook>
</file>

<file path=xl/calcChain.xml><?xml version="1.0" encoding="utf-8"?>
<calcChain xmlns="http://schemas.openxmlformats.org/spreadsheetml/2006/main">
  <c r="E26" i="4"/>
  <c r="E24"/>
  <c r="E18"/>
  <c r="E19"/>
  <c r="E20"/>
  <c r="E21"/>
  <c r="E22"/>
  <c r="E23"/>
  <c r="E25"/>
  <c r="E27"/>
  <c r="E28"/>
  <c r="E29"/>
  <c r="E30"/>
  <c r="E31"/>
  <c r="E17"/>
  <c r="E32" s="1"/>
  <c r="A31"/>
  <c r="A30"/>
  <c r="A29"/>
  <c r="A28"/>
  <c r="A27"/>
  <c r="A26"/>
  <c r="A25"/>
  <c r="A24"/>
  <c r="A23"/>
  <c r="A22"/>
  <c r="A21"/>
  <c r="A20"/>
  <c r="A19"/>
  <c r="A18"/>
  <c r="A17"/>
  <c r="E33" l="1"/>
  <c r="B15" i="2"/>
  <c r="B16"/>
  <c r="B17"/>
  <c r="B18"/>
  <c r="B19"/>
  <c r="B20"/>
  <c r="B21"/>
  <c r="B22"/>
  <c r="B23"/>
  <c r="G16"/>
  <c r="G15"/>
  <c r="G17"/>
  <c r="G18"/>
  <c r="G19"/>
  <c r="G20"/>
  <c r="G21"/>
  <c r="G22"/>
  <c r="G23"/>
  <c r="G14"/>
  <c r="E12" i="1"/>
  <c r="B14" i="2"/>
  <c r="F5"/>
  <c r="A13" i="1"/>
  <c r="A14"/>
  <c r="A15"/>
  <c r="A16"/>
  <c r="A17"/>
  <c r="A18"/>
  <c r="A19"/>
  <c r="A20"/>
  <c r="A21"/>
  <c r="A22"/>
  <c r="A23"/>
  <c r="A24"/>
  <c r="A25"/>
  <c r="A26"/>
  <c r="A12"/>
  <c r="E5"/>
  <c r="E13"/>
  <c r="E14"/>
  <c r="E15"/>
  <c r="E16"/>
  <c r="E17"/>
  <c r="E18"/>
  <c r="E19"/>
  <c r="E20"/>
  <c r="E21"/>
  <c r="E22"/>
  <c r="E23"/>
  <c r="E24"/>
  <c r="E25"/>
  <c r="E26"/>
  <c r="E27" l="1"/>
  <c r="E28" s="1"/>
  <c r="E29" s="1"/>
  <c r="E34" i="4"/>
  <c r="E35" s="1"/>
  <c r="G24" i="2"/>
  <c r="E30" i="1" l="1"/>
  <c r="G25" i="2"/>
  <c r="G26" s="1"/>
  <c r="G27" l="1"/>
</calcChain>
</file>

<file path=xl/sharedStrings.xml><?xml version="1.0" encoding="utf-8"?>
<sst xmlns="http://schemas.openxmlformats.org/spreadsheetml/2006/main" count="89" uniqueCount="67">
  <si>
    <t>Mohan Garments Private Limited</t>
  </si>
  <si>
    <t>INVOICE</t>
  </si>
  <si>
    <t>Sr. No.</t>
  </si>
  <si>
    <t>Rate</t>
  </si>
  <si>
    <t>Quantity</t>
  </si>
  <si>
    <t>Amount</t>
  </si>
  <si>
    <t>SGST 9%</t>
  </si>
  <si>
    <t>CGST 9%</t>
  </si>
  <si>
    <t>Grand Total</t>
  </si>
  <si>
    <t>______________________</t>
  </si>
  <si>
    <t>Authorised Signatory</t>
  </si>
  <si>
    <t>LATUR, MAHARASHTRA - 413512</t>
  </si>
  <si>
    <t>Near PVR Cinema, 5 Number, Latur</t>
  </si>
  <si>
    <t>Omkar Vaijanath Kale</t>
  </si>
  <si>
    <t>Latur</t>
  </si>
  <si>
    <t>Product Description</t>
  </si>
  <si>
    <t>Address:</t>
  </si>
  <si>
    <t>Sub Total</t>
  </si>
  <si>
    <t>Name:</t>
  </si>
  <si>
    <t>Contact:</t>
  </si>
  <si>
    <t xml:space="preserve">Date : </t>
  </si>
  <si>
    <t>Amount in Words :-</t>
  </si>
  <si>
    <t>Shirt</t>
  </si>
  <si>
    <t>Five Hundred Ninety Rupees Only</t>
  </si>
  <si>
    <t>TAX INVOICE</t>
  </si>
  <si>
    <t>Rajveer Multi Services</t>
  </si>
  <si>
    <t>Basmat Raod, Parbhani</t>
  </si>
  <si>
    <t>Parbhani - 431401</t>
  </si>
  <si>
    <t>Maharashtra, India</t>
  </si>
  <si>
    <t>Bill To</t>
  </si>
  <si>
    <t>Ship To</t>
  </si>
  <si>
    <t>Invoice No.</t>
  </si>
  <si>
    <t>Date:</t>
  </si>
  <si>
    <t>Place of Supply</t>
  </si>
  <si>
    <t>MH - [Maharashtra]</t>
  </si>
  <si>
    <t>INV37</t>
  </si>
  <si>
    <t>Sr No.</t>
  </si>
  <si>
    <t>HSN/SAC</t>
  </si>
  <si>
    <t>Grampanchayat Mojmabad</t>
  </si>
  <si>
    <t>At Mojmabad Tq.Palam Dist.Parbhnai, Palam 431401 Maharashtra, India</t>
  </si>
  <si>
    <t>DC LED 12V Street Light</t>
  </si>
  <si>
    <t>G.I Pipe Pole 6 MTR</t>
  </si>
  <si>
    <t>Total</t>
  </si>
  <si>
    <t>Cement Foundation</t>
  </si>
  <si>
    <t>Providing Pipe Type Earthing</t>
  </si>
  <si>
    <t>Instaling, Supplying, Testing etc</t>
  </si>
  <si>
    <t>Add. CGST 9%</t>
  </si>
  <si>
    <t>Add. SGST 9%</t>
  </si>
  <si>
    <t>Amount in Words -</t>
  </si>
  <si>
    <t>Four Lakh Ninety Three Thousand Four Hundred Five Rupees and Zero Paise Only.</t>
  </si>
  <si>
    <t>___________________</t>
  </si>
  <si>
    <t>______________________________</t>
  </si>
  <si>
    <t>GSTIN: 27BWCPK5240D1ZV</t>
  </si>
  <si>
    <t>PAN: BWCPK5240D</t>
  </si>
  <si>
    <t>Company Name:</t>
  </si>
  <si>
    <t>Email ID:</t>
  </si>
  <si>
    <t>GST IN.:</t>
  </si>
  <si>
    <t>PAN No.:</t>
  </si>
  <si>
    <t>Billing To:</t>
  </si>
  <si>
    <t>Name</t>
  </si>
  <si>
    <t>Date :</t>
  </si>
  <si>
    <t>Bill No.:</t>
  </si>
  <si>
    <t>Phone No.:</t>
  </si>
  <si>
    <t>Payment Mode:</t>
  </si>
  <si>
    <t>Total Amount in Words :-</t>
  </si>
  <si>
    <t>Seal &amp; Signature</t>
  </si>
  <si>
    <r>
      <t xml:space="preserve">Invoice No. : </t>
    </r>
    <r>
      <rPr>
        <b/>
        <sz val="10"/>
        <color rgb="FFFF0000"/>
        <rFont val="Calibri"/>
        <family val="2"/>
        <scheme val="minor"/>
      </rPr>
      <t>1245</t>
    </r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</si>
</sst>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[$₹-44E]###0"/>
  </numFmts>
  <fonts count="18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Algerian"/>
      <family val="5"/>
    </font>
    <font>
      <b/>
      <sz val="14"/>
      <color theme="1"/>
      <name val="Rockwell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2"/>
      <color theme="1"/>
      <name val="Rockwell"/>
      <family val="1"/>
    </font>
    <font>
      <b/>
      <sz val="20"/>
      <color rgb="FFFFFFFF"/>
      <name val="Cambria"/>
      <family val="1"/>
    </font>
    <font>
      <sz val="11"/>
      <color theme="1"/>
      <name val="Calibri"/>
      <family val="2"/>
    </font>
    <font>
      <b/>
      <sz val="12"/>
      <color rgb="FF632523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53735"/>
        <bgColor rgb="FF000000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vertical="top"/>
    </xf>
    <xf numFmtId="0" fontId="0" fillId="0" borderId="0" xfId="0" applyAlignment="1"/>
    <xf numFmtId="0" fontId="0" fillId="0" borderId="0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/>
    <xf numFmtId="164" fontId="4" fillId="0" borderId="0" xfId="0" applyNumberFormat="1" applyFont="1" applyBorder="1" applyAlignment="1">
      <alignment vertical="top"/>
    </xf>
    <xf numFmtId="0" fontId="0" fillId="0" borderId="0" xfId="0" applyBorder="1" applyAlignment="1">
      <alignment vertical="top" wrapText="1"/>
    </xf>
    <xf numFmtId="0" fontId="4" fillId="0" borderId="0" xfId="0" applyFont="1" applyFill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left" indent="1"/>
    </xf>
    <xf numFmtId="0" fontId="6" fillId="0" borderId="16" xfId="0" applyFont="1" applyBorder="1"/>
    <xf numFmtId="0" fontId="6" fillId="0" borderId="0" xfId="0" applyFont="1"/>
    <xf numFmtId="0" fontId="6" fillId="0" borderId="5" xfId="0" applyFont="1" applyBorder="1" applyAlignment="1"/>
    <xf numFmtId="0" fontId="6" fillId="0" borderId="12" xfId="0" applyFont="1" applyBorder="1" applyAlignment="1">
      <alignment horizontal="center" vertical="center"/>
    </xf>
    <xf numFmtId="1" fontId="6" fillId="0" borderId="13" xfId="0" applyNumberFormat="1" applyFont="1" applyBorder="1"/>
    <xf numFmtId="165" fontId="7" fillId="0" borderId="15" xfId="0" applyNumberFormat="1" applyFont="1" applyBorder="1"/>
    <xf numFmtId="0" fontId="6" fillId="0" borderId="6" xfId="0" applyFont="1" applyBorder="1" applyAlignment="1"/>
    <xf numFmtId="0" fontId="6" fillId="0" borderId="9" xfId="0" applyFont="1" applyBorder="1" applyAlignment="1"/>
    <xf numFmtId="0" fontId="6" fillId="0" borderId="11" xfId="0" applyFont="1" applyBorder="1" applyAlignment="1"/>
    <xf numFmtId="0" fontId="7" fillId="7" borderId="18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6" fillId="0" borderId="1" xfId="0" applyFont="1" applyBorder="1"/>
    <xf numFmtId="1" fontId="6" fillId="0" borderId="8" xfId="0" applyNumberFormat="1" applyFont="1" applyBorder="1"/>
    <xf numFmtId="1" fontId="6" fillId="0" borderId="29" xfId="0" applyNumberFormat="1" applyFont="1" applyBorder="1"/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/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left" vertical="center"/>
    </xf>
    <xf numFmtId="0" fontId="7" fillId="7" borderId="23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7" fillId="7" borderId="21" xfId="0" applyFont="1" applyFill="1" applyBorder="1" applyAlignment="1">
      <alignment vertical="center"/>
    </xf>
    <xf numFmtId="0" fontId="7" fillId="7" borderId="22" xfId="0" applyFont="1" applyFill="1" applyBorder="1" applyAlignment="1">
      <alignment vertical="center"/>
    </xf>
    <xf numFmtId="0" fontId="7" fillId="7" borderId="23" xfId="0" applyFont="1" applyFill="1" applyBorder="1" applyAlignment="1">
      <alignment vertical="center"/>
    </xf>
    <xf numFmtId="0" fontId="6" fillId="0" borderId="2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0" fontId="6" fillId="0" borderId="10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27" xfId="0" applyFont="1" applyBorder="1" applyAlignment="1">
      <alignment horizontal="right" vertical="center"/>
    </xf>
    <xf numFmtId="0" fontId="6" fillId="0" borderId="28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0" xfId="0" applyFont="1" applyBorder="1"/>
    <xf numFmtId="0" fontId="7" fillId="0" borderId="34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6" fillId="0" borderId="24" xfId="0" applyFont="1" applyFill="1" applyBorder="1" applyAlignment="1">
      <alignment horizontal="left" vertical="center"/>
    </xf>
    <xf numFmtId="0" fontId="6" fillId="0" borderId="25" xfId="0" applyFont="1" applyFill="1" applyBorder="1" applyAlignment="1">
      <alignment horizontal="left" vertical="center"/>
    </xf>
    <xf numFmtId="0" fontId="6" fillId="0" borderId="20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 vertical="top" indent="1"/>
    </xf>
    <xf numFmtId="0" fontId="6" fillId="0" borderId="6" xfId="0" applyFont="1" applyBorder="1" applyAlignment="1">
      <alignment horizontal="left" vertical="top" indent="1"/>
    </xf>
    <xf numFmtId="164" fontId="6" fillId="0" borderId="5" xfId="0" applyNumberFormat="1" applyFont="1" applyBorder="1" applyAlignment="1">
      <alignment horizontal="left" vertical="top" indent="1"/>
    </xf>
    <xf numFmtId="164" fontId="6" fillId="0" borderId="6" xfId="0" applyNumberFormat="1" applyFont="1" applyBorder="1" applyAlignment="1">
      <alignment horizontal="left" vertical="top" indent="1"/>
    </xf>
    <xf numFmtId="0" fontId="6" fillId="0" borderId="9" xfId="0" applyFont="1" applyBorder="1" applyAlignment="1">
      <alignment horizontal="left" vertical="top" indent="1"/>
    </xf>
    <xf numFmtId="0" fontId="6" fillId="0" borderId="11" xfId="0" applyFont="1" applyBorder="1" applyAlignment="1">
      <alignment horizontal="left" vertical="top" indent="1"/>
    </xf>
    <xf numFmtId="164" fontId="6" fillId="0" borderId="9" xfId="0" applyNumberFormat="1" applyFont="1" applyBorder="1" applyAlignment="1">
      <alignment horizontal="left" vertical="top" indent="1"/>
    </xf>
    <xf numFmtId="164" fontId="6" fillId="0" borderId="11" xfId="0" applyNumberFormat="1" applyFont="1" applyBorder="1" applyAlignment="1">
      <alignment horizontal="left" vertical="top" indent="1"/>
    </xf>
    <xf numFmtId="0" fontId="6" fillId="0" borderId="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1" fillId="0" borderId="0" xfId="0" applyFont="1" applyBorder="1"/>
    <xf numFmtId="0" fontId="12" fillId="0" borderId="12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top" wrapText="1"/>
    </xf>
    <xf numFmtId="0" fontId="11" fillId="0" borderId="20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12" xfId="0" applyFont="1" applyBorder="1" applyAlignment="1"/>
    <xf numFmtId="0" fontId="11" fillId="0" borderId="16" xfId="0" applyFont="1" applyBorder="1" applyAlignment="1"/>
    <xf numFmtId="0" fontId="11" fillId="8" borderId="5" xfId="0" applyFont="1" applyFill="1" applyBorder="1"/>
    <xf numFmtId="0" fontId="11" fillId="8" borderId="0" xfId="0" applyFont="1" applyFill="1" applyBorder="1"/>
    <xf numFmtId="0" fontId="11" fillId="8" borderId="6" xfId="0" applyFont="1" applyFill="1" applyBorder="1"/>
    <xf numFmtId="0" fontId="12" fillId="0" borderId="12" xfId="0" applyFont="1" applyBorder="1" applyAlignment="1"/>
    <xf numFmtId="0" fontId="12" fillId="0" borderId="16" xfId="0" applyFont="1" applyBorder="1" applyAlignment="1"/>
    <xf numFmtId="0" fontId="12" fillId="0" borderId="38" xfId="0" applyFont="1" applyBorder="1" applyAlignment="1"/>
    <xf numFmtId="0" fontId="12" fillId="0" borderId="39" xfId="0" applyFont="1" applyBorder="1" applyAlignment="1"/>
    <xf numFmtId="0" fontId="11" fillId="0" borderId="38" xfId="0" applyFont="1" applyBorder="1" applyAlignment="1"/>
    <xf numFmtId="0" fontId="11" fillId="0" borderId="39" xfId="0" applyFont="1" applyBorder="1" applyAlignment="1"/>
    <xf numFmtId="0" fontId="11" fillId="0" borderId="12" xfId="0" applyFont="1" applyBorder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6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1" fillId="0" borderId="13" xfId="0" applyFont="1" applyBorder="1" applyAlignment="1"/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1" fillId="0" borderId="16" xfId="0" applyFont="1" applyBorder="1"/>
    <xf numFmtId="0" fontId="11" fillId="0" borderId="13" xfId="0" applyFont="1" applyBorder="1"/>
    <xf numFmtId="0" fontId="11" fillId="0" borderId="17" xfId="0" applyFont="1" applyBorder="1"/>
    <xf numFmtId="0" fontId="13" fillId="0" borderId="2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1" fillId="0" borderId="27" xfId="0" applyFont="1" applyBorder="1"/>
    <xf numFmtId="0" fontId="11" fillId="0" borderId="29" xfId="0" applyFont="1" applyBorder="1"/>
    <xf numFmtId="0" fontId="13" fillId="0" borderId="5" xfId="0" applyFont="1" applyBorder="1" applyAlignment="1">
      <alignment vertical="top"/>
    </xf>
    <xf numFmtId="0" fontId="13" fillId="0" borderId="0" xfId="0" applyFont="1" applyBorder="1" applyAlignment="1">
      <alignment vertical="top"/>
    </xf>
    <xf numFmtId="0" fontId="13" fillId="0" borderId="6" xfId="0" applyFont="1" applyBorder="1" applyAlignment="1">
      <alignment vertical="top"/>
    </xf>
    <xf numFmtId="0" fontId="11" fillId="0" borderId="12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3" fillId="0" borderId="14" xfId="0" applyFont="1" applyBorder="1"/>
    <xf numFmtId="0" fontId="13" fillId="0" borderId="15" xfId="0" applyFont="1" applyBorder="1"/>
    <xf numFmtId="0" fontId="11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1" fillId="0" borderId="16" xfId="0" applyFont="1" applyBorder="1" applyAlignment="1">
      <alignment horizontal="left" indent="1"/>
    </xf>
    <xf numFmtId="0" fontId="11" fillId="0" borderId="17" xfId="0" applyFont="1" applyBorder="1" applyAlignment="1">
      <alignment horizontal="left" indent="1"/>
    </xf>
    <xf numFmtId="0" fontId="15" fillId="0" borderId="12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17" fillId="0" borderId="16" xfId="0" applyFont="1" applyBorder="1"/>
    <xf numFmtId="0" fontId="15" fillId="0" borderId="16" xfId="0" applyFont="1" applyBorder="1" applyAlignment="1">
      <alignment horizontal="right" vertical="center"/>
    </xf>
    <xf numFmtId="164" fontId="15" fillId="0" borderId="13" xfId="0" applyNumberFormat="1" applyFont="1" applyBorder="1" applyAlignment="1">
      <alignment horizontal="left" vertical="center"/>
    </xf>
    <xf numFmtId="0" fontId="15" fillId="0" borderId="12" xfId="0" applyFont="1" applyBorder="1" applyAlignment="1"/>
    <xf numFmtId="0" fontId="15" fillId="0" borderId="16" xfId="0" applyFont="1" applyBorder="1" applyAlignment="1"/>
    <xf numFmtId="0" fontId="15" fillId="0" borderId="16" xfId="0" applyFont="1" applyBorder="1"/>
    <xf numFmtId="164" fontId="17" fillId="0" borderId="13" xfId="0" applyNumberFormat="1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indent="1"/>
    </xf>
    <xf numFmtId="0" fontId="17" fillId="0" borderId="13" xfId="0" applyFont="1" applyBorder="1"/>
    <xf numFmtId="0" fontId="17" fillId="0" borderId="5" xfId="0" applyFont="1" applyBorder="1"/>
    <xf numFmtId="0" fontId="17" fillId="0" borderId="0" xfId="0" applyFont="1" applyBorder="1"/>
    <xf numFmtId="0" fontId="15" fillId="0" borderId="0" xfId="0" applyFont="1" applyBorder="1"/>
    <xf numFmtId="0" fontId="17" fillId="0" borderId="6" xfId="0" applyFont="1" applyBorder="1"/>
    <xf numFmtId="0" fontId="15" fillId="5" borderId="7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6" xfId="0" applyFont="1" applyBorder="1" applyAlignment="1">
      <alignment horizontal="right" vertical="center" indent="1"/>
    </xf>
    <xf numFmtId="0" fontId="17" fillId="0" borderId="13" xfId="0" applyFont="1" applyBorder="1" applyAlignment="1">
      <alignment horizontal="right" vertical="center" indent="1"/>
    </xf>
    <xf numFmtId="0" fontId="17" fillId="0" borderId="14" xfId="0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 indent="1"/>
    </xf>
    <xf numFmtId="0" fontId="17" fillId="0" borderId="17" xfId="0" applyFont="1" applyBorder="1" applyAlignment="1">
      <alignment horizontal="right" vertical="center" indent="1"/>
    </xf>
    <xf numFmtId="0" fontId="17" fillId="0" borderId="15" xfId="0" applyFont="1" applyBorder="1" applyAlignment="1">
      <alignment horizontal="right" vertical="center" indent="1"/>
    </xf>
    <xf numFmtId="0" fontId="15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7" fillId="0" borderId="18" xfId="0" applyFont="1" applyBorder="1"/>
    <xf numFmtId="0" fontId="17" fillId="0" borderId="19" xfId="0" applyFont="1" applyBorder="1" applyAlignment="1">
      <alignment horizontal="right" indent="1"/>
    </xf>
    <xf numFmtId="0" fontId="17" fillId="0" borderId="5" xfId="0" applyFont="1" applyBorder="1" applyAlignment="1">
      <alignment vertical="top"/>
    </xf>
    <xf numFmtId="0" fontId="17" fillId="0" borderId="0" xfId="0" applyFont="1" applyBorder="1" applyAlignment="1">
      <alignment vertical="top"/>
    </xf>
    <xf numFmtId="0" fontId="17" fillId="0" borderId="6" xfId="0" applyFont="1" applyBorder="1" applyAlignment="1">
      <alignment vertical="top"/>
    </xf>
    <xf numFmtId="0" fontId="17" fillId="0" borderId="12" xfId="0" applyFont="1" applyBorder="1"/>
    <xf numFmtId="0" fontId="17" fillId="0" borderId="13" xfId="0" applyFont="1" applyBorder="1" applyAlignment="1">
      <alignment horizontal="right" indent="1"/>
    </xf>
    <xf numFmtId="0" fontId="17" fillId="0" borderId="9" xfId="0" applyFont="1" applyBorder="1" applyAlignment="1">
      <alignment vertical="top"/>
    </xf>
    <xf numFmtId="0" fontId="17" fillId="0" borderId="10" xfId="0" applyFont="1" applyBorder="1" applyAlignment="1">
      <alignment vertical="top"/>
    </xf>
    <xf numFmtId="0" fontId="17" fillId="0" borderId="11" xfId="0" applyFont="1" applyBorder="1" applyAlignment="1">
      <alignment vertical="top"/>
    </xf>
    <xf numFmtId="0" fontId="15" fillId="3" borderId="14" xfId="0" applyFont="1" applyFill="1" applyBorder="1"/>
    <xf numFmtId="0" fontId="17" fillId="3" borderId="15" xfId="0" applyFont="1" applyFill="1" applyBorder="1" applyAlignment="1">
      <alignment horizontal="right" indent="1"/>
    </xf>
    <xf numFmtId="0" fontId="17" fillId="0" borderId="0" xfId="0" applyFont="1"/>
    <xf numFmtId="0" fontId="17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339933"/>
      <color rgb="FF006600"/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1</xdr:row>
      <xdr:rowOff>45720</xdr:rowOff>
    </xdr:from>
    <xdr:to>
      <xdr:col>4</xdr:col>
      <xdr:colOff>609412</xdr:colOff>
      <xdr:row>6</xdr:row>
      <xdr:rowOff>106680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59580" y="411480"/>
          <a:ext cx="1082748" cy="1005840"/>
        </a:xfrm>
        <a:prstGeom prst="rect">
          <a:avLst/>
        </a:prstGeom>
        <a:noFill/>
        <a:ln>
          <a:solidFill>
            <a:srgbClr val="FF0000"/>
          </a:solidFill>
        </a:ln>
      </xdr:spPr>
    </xdr:pic>
    <xdr:clientData/>
  </xdr:twoCellAnchor>
  <xdr:twoCellAnchor editAs="oneCell">
    <xdr:from>
      <xdr:col>4</xdr:col>
      <xdr:colOff>53339</xdr:colOff>
      <xdr:row>1</xdr:row>
      <xdr:rowOff>45720</xdr:rowOff>
    </xdr:from>
    <xdr:to>
      <xdr:col>4</xdr:col>
      <xdr:colOff>1075764</xdr:colOff>
      <xdr:row>6</xdr:row>
      <xdr:rowOff>121920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57786" y="359485"/>
          <a:ext cx="1022425" cy="990600"/>
        </a:xfrm>
        <a:prstGeom prst="rect">
          <a:avLst/>
        </a:prstGeom>
        <a:noFill/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zoomScale="85" zoomScaleNormal="85" zoomScalePageLayoutView="55" workbookViewId="0">
      <selection activeCell="B12" sqref="B12"/>
    </sheetView>
  </sheetViews>
  <sheetFormatPr defaultRowHeight="14.4"/>
  <cols>
    <col min="1" max="1" width="8.33203125" customWidth="1"/>
    <col min="2" max="2" width="32.5546875" customWidth="1"/>
    <col min="3" max="3" width="13.109375" customWidth="1"/>
    <col min="4" max="4" width="13.5546875" customWidth="1"/>
    <col min="5" max="5" width="16.21875" customWidth="1"/>
  </cols>
  <sheetData>
    <row r="1" spans="1:5" ht="40.799999999999997" customHeight="1">
      <c r="A1" s="30" t="s">
        <v>0</v>
      </c>
      <c r="B1" s="31"/>
      <c r="C1" s="31"/>
      <c r="D1" s="31"/>
      <c r="E1" s="32"/>
    </row>
    <row r="2" spans="1:5" ht="15.6">
      <c r="A2" s="33" t="s">
        <v>12</v>
      </c>
      <c r="B2" s="34"/>
      <c r="C2" s="34"/>
      <c r="D2" s="34"/>
      <c r="E2" s="35"/>
    </row>
    <row r="3" spans="1:5" ht="15.6">
      <c r="A3" s="33" t="s">
        <v>11</v>
      </c>
      <c r="B3" s="34"/>
      <c r="C3" s="34"/>
      <c r="D3" s="34"/>
      <c r="E3" s="35"/>
    </row>
    <row r="4" spans="1:5" ht="28.2" customHeight="1">
      <c r="A4" s="36" t="s">
        <v>1</v>
      </c>
      <c r="B4" s="37"/>
      <c r="C4" s="37"/>
      <c r="D4" s="37"/>
      <c r="E4" s="38"/>
    </row>
    <row r="5" spans="1:5">
      <c r="A5" s="159" t="s">
        <v>66</v>
      </c>
      <c r="B5" s="160"/>
      <c r="C5" s="161"/>
      <c r="D5" s="162" t="s">
        <v>20</v>
      </c>
      <c r="E5" s="163">
        <f ca="1">TODAY()</f>
        <v>45919</v>
      </c>
    </row>
    <row r="6" spans="1:5">
      <c r="A6" s="164"/>
      <c r="B6" s="165"/>
      <c r="C6" s="166"/>
      <c r="D6" s="161"/>
      <c r="E6" s="167"/>
    </row>
    <row r="7" spans="1:5">
      <c r="A7" s="168" t="s">
        <v>18</v>
      </c>
      <c r="B7" s="169" t="s">
        <v>13</v>
      </c>
      <c r="C7" s="166"/>
      <c r="D7" s="166"/>
      <c r="E7" s="170"/>
    </row>
    <row r="8" spans="1:5">
      <c r="A8" s="168" t="s">
        <v>19</v>
      </c>
      <c r="B8" s="169">
        <v>9587458755</v>
      </c>
      <c r="C8" s="166"/>
      <c r="D8" s="166"/>
      <c r="E8" s="170"/>
    </row>
    <row r="9" spans="1:5">
      <c r="A9" s="168" t="s">
        <v>16</v>
      </c>
      <c r="B9" s="169" t="s">
        <v>14</v>
      </c>
      <c r="C9" s="166"/>
      <c r="D9" s="166"/>
      <c r="E9" s="170"/>
    </row>
    <row r="10" spans="1:5">
      <c r="A10" s="171"/>
      <c r="B10" s="172"/>
      <c r="C10" s="173"/>
      <c r="D10" s="173"/>
      <c r="E10" s="174"/>
    </row>
    <row r="11" spans="1:5">
      <c r="A11" s="175" t="s">
        <v>2</v>
      </c>
      <c r="B11" s="176" t="s">
        <v>15</v>
      </c>
      <c r="C11" s="176" t="s">
        <v>4</v>
      </c>
      <c r="D11" s="176" t="s">
        <v>3</v>
      </c>
      <c r="E11" s="177" t="s">
        <v>5</v>
      </c>
    </row>
    <row r="12" spans="1:5">
      <c r="A12" s="178">
        <f>IF(B12="","",ROW(A1))</f>
        <v>1</v>
      </c>
      <c r="B12" s="169" t="s">
        <v>22</v>
      </c>
      <c r="C12" s="179"/>
      <c r="D12" s="179"/>
      <c r="E12" s="180" t="str">
        <f>IF(C12*D12,(C12*D12),"")</f>
        <v/>
      </c>
    </row>
    <row r="13" spans="1:5">
      <c r="A13" s="178" t="str">
        <f t="shared" ref="A13:A26" si="0">IF(B13="","",ROW(A2))</f>
        <v/>
      </c>
      <c r="B13" s="169"/>
      <c r="C13" s="179"/>
      <c r="D13" s="179"/>
      <c r="E13" s="180" t="str">
        <f t="shared" ref="E13:E26" si="1">IF(C13*D13,(C13*D13),"")</f>
        <v/>
      </c>
    </row>
    <row r="14" spans="1:5">
      <c r="A14" s="178" t="str">
        <f t="shared" si="0"/>
        <v/>
      </c>
      <c r="B14" s="169"/>
      <c r="C14" s="179"/>
      <c r="D14" s="179"/>
      <c r="E14" s="180" t="str">
        <f t="shared" si="1"/>
        <v/>
      </c>
    </row>
    <row r="15" spans="1:5">
      <c r="A15" s="178" t="str">
        <f t="shared" si="0"/>
        <v/>
      </c>
      <c r="B15" s="169"/>
      <c r="C15" s="179"/>
      <c r="D15" s="179"/>
      <c r="E15" s="180" t="str">
        <f t="shared" si="1"/>
        <v/>
      </c>
    </row>
    <row r="16" spans="1:5">
      <c r="A16" s="178" t="str">
        <f t="shared" si="0"/>
        <v/>
      </c>
      <c r="B16" s="169"/>
      <c r="C16" s="179"/>
      <c r="D16" s="179"/>
      <c r="E16" s="180" t="str">
        <f t="shared" si="1"/>
        <v/>
      </c>
    </row>
    <row r="17" spans="1:5">
      <c r="A17" s="178" t="str">
        <f t="shared" si="0"/>
        <v/>
      </c>
      <c r="B17" s="169"/>
      <c r="C17" s="179"/>
      <c r="D17" s="179"/>
      <c r="E17" s="180" t="str">
        <f t="shared" si="1"/>
        <v/>
      </c>
    </row>
    <row r="18" spans="1:5">
      <c r="A18" s="178" t="str">
        <f t="shared" si="0"/>
        <v/>
      </c>
      <c r="B18" s="169"/>
      <c r="C18" s="179"/>
      <c r="D18" s="179"/>
      <c r="E18" s="180" t="str">
        <f t="shared" si="1"/>
        <v/>
      </c>
    </row>
    <row r="19" spans="1:5">
      <c r="A19" s="178" t="str">
        <f t="shared" si="0"/>
        <v/>
      </c>
      <c r="B19" s="169"/>
      <c r="C19" s="179"/>
      <c r="D19" s="179"/>
      <c r="E19" s="180" t="str">
        <f t="shared" si="1"/>
        <v/>
      </c>
    </row>
    <row r="20" spans="1:5">
      <c r="A20" s="178" t="str">
        <f t="shared" si="0"/>
        <v/>
      </c>
      <c r="B20" s="169"/>
      <c r="C20" s="179"/>
      <c r="D20" s="179"/>
      <c r="E20" s="180" t="str">
        <f t="shared" si="1"/>
        <v/>
      </c>
    </row>
    <row r="21" spans="1:5">
      <c r="A21" s="178" t="str">
        <f t="shared" si="0"/>
        <v/>
      </c>
      <c r="B21" s="169"/>
      <c r="C21" s="179"/>
      <c r="D21" s="179"/>
      <c r="E21" s="180" t="str">
        <f t="shared" si="1"/>
        <v/>
      </c>
    </row>
    <row r="22" spans="1:5">
      <c r="A22" s="178" t="str">
        <f t="shared" si="0"/>
        <v/>
      </c>
      <c r="B22" s="169"/>
      <c r="C22" s="179"/>
      <c r="D22" s="179"/>
      <c r="E22" s="180" t="str">
        <f t="shared" si="1"/>
        <v/>
      </c>
    </row>
    <row r="23" spans="1:5">
      <c r="A23" s="178" t="str">
        <f t="shared" si="0"/>
        <v/>
      </c>
      <c r="B23" s="169"/>
      <c r="C23" s="179"/>
      <c r="D23" s="179"/>
      <c r="E23" s="180" t="str">
        <f t="shared" si="1"/>
        <v/>
      </c>
    </row>
    <row r="24" spans="1:5">
      <c r="A24" s="178" t="str">
        <f t="shared" si="0"/>
        <v/>
      </c>
      <c r="B24" s="169"/>
      <c r="C24" s="179"/>
      <c r="D24" s="179"/>
      <c r="E24" s="180" t="str">
        <f t="shared" si="1"/>
        <v/>
      </c>
    </row>
    <row r="25" spans="1:5">
      <c r="A25" s="178" t="str">
        <f t="shared" si="0"/>
        <v/>
      </c>
      <c r="B25" s="169"/>
      <c r="C25" s="179"/>
      <c r="D25" s="179"/>
      <c r="E25" s="180" t="str">
        <f t="shared" si="1"/>
        <v/>
      </c>
    </row>
    <row r="26" spans="1:5" ht="15" thickBot="1">
      <c r="A26" s="181" t="str">
        <f t="shared" si="0"/>
        <v/>
      </c>
      <c r="B26" s="182"/>
      <c r="C26" s="183"/>
      <c r="D26" s="183"/>
      <c r="E26" s="184" t="str">
        <f t="shared" si="1"/>
        <v/>
      </c>
    </row>
    <row r="27" spans="1:5">
      <c r="A27" s="185" t="s">
        <v>21</v>
      </c>
      <c r="B27" s="186"/>
      <c r="C27" s="187"/>
      <c r="D27" s="188" t="s">
        <v>17</v>
      </c>
      <c r="E27" s="189" t="str">
        <f>IF(SUM(E12:E26),(SUM(E12:E26)),"")</f>
        <v/>
      </c>
    </row>
    <row r="28" spans="1:5">
      <c r="A28" s="190" t="s">
        <v>23</v>
      </c>
      <c r="B28" s="191"/>
      <c r="C28" s="192"/>
      <c r="D28" s="193" t="s">
        <v>7</v>
      </c>
      <c r="E28" s="194" t="str">
        <f>IFERROR(E27*9%,"")</f>
        <v/>
      </c>
    </row>
    <row r="29" spans="1:5">
      <c r="A29" s="190"/>
      <c r="B29" s="191"/>
      <c r="C29" s="192"/>
      <c r="D29" s="193" t="s">
        <v>6</v>
      </c>
      <c r="E29" s="194" t="str">
        <f>E28</f>
        <v/>
      </c>
    </row>
    <row r="30" spans="1:5" ht="15" thickBot="1">
      <c r="A30" s="195"/>
      <c r="B30" s="196"/>
      <c r="C30" s="197"/>
      <c r="D30" s="198" t="s">
        <v>8</v>
      </c>
      <c r="E30" s="199" t="str">
        <f>IFERROR(E27+E28+E29,"")</f>
        <v/>
      </c>
    </row>
    <row r="31" spans="1:5">
      <c r="A31" s="172"/>
      <c r="B31" s="172"/>
      <c r="C31" s="172"/>
      <c r="D31" s="200"/>
      <c r="E31" s="200"/>
    </row>
    <row r="32" spans="1:5">
      <c r="A32" s="172"/>
      <c r="B32" s="172"/>
      <c r="C32" s="172"/>
      <c r="D32" s="172"/>
      <c r="E32" s="172"/>
    </row>
    <row r="33" spans="1:5">
      <c r="A33" s="172"/>
      <c r="B33" s="172"/>
      <c r="C33" s="172"/>
      <c r="D33" s="201" t="s">
        <v>9</v>
      </c>
      <c r="E33" s="201"/>
    </row>
    <row r="34" spans="1:5">
      <c r="A34" s="172"/>
      <c r="B34" s="172"/>
      <c r="C34" s="172"/>
      <c r="D34" s="202" t="s">
        <v>10</v>
      </c>
      <c r="E34" s="202"/>
    </row>
    <row r="35" spans="1:5">
      <c r="A35" s="172"/>
      <c r="B35" s="172"/>
      <c r="C35" s="172"/>
      <c r="D35" s="200"/>
      <c r="E35" s="200"/>
    </row>
    <row r="36" spans="1:5">
      <c r="A36" s="1"/>
      <c r="B36" s="1"/>
      <c r="C36" s="1"/>
      <c r="D36" s="1"/>
      <c r="E36" s="1"/>
    </row>
  </sheetData>
  <mergeCells count="9">
    <mergeCell ref="D34:E34"/>
    <mergeCell ref="A1:E1"/>
    <mergeCell ref="A2:E2"/>
    <mergeCell ref="A3:E3"/>
    <mergeCell ref="A4:E4"/>
    <mergeCell ref="D33:E33"/>
    <mergeCell ref="A5:B5"/>
    <mergeCell ref="A27:C27"/>
    <mergeCell ref="A28:C30"/>
  </mergeCells>
  <pageMargins left="0.9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zoomScale="85" zoomScaleNormal="85" workbookViewId="0">
      <selection activeCell="B17" sqref="B17"/>
    </sheetView>
  </sheetViews>
  <sheetFormatPr defaultRowHeight="14.4"/>
  <cols>
    <col min="1" max="1" width="7.33203125" customWidth="1"/>
    <col min="2" max="2" width="30.109375" customWidth="1"/>
    <col min="3" max="3" width="12.44140625" customWidth="1"/>
    <col min="4" max="4" width="11.44140625" bestFit="1" customWidth="1"/>
    <col min="5" max="5" width="16.6640625" customWidth="1"/>
  </cols>
  <sheetData>
    <row r="1" spans="1:6" ht="24.6">
      <c r="A1" s="105" t="s">
        <v>1</v>
      </c>
      <c r="B1" s="106"/>
      <c r="C1" s="106"/>
      <c r="D1" s="106"/>
      <c r="E1" s="107"/>
      <c r="F1" s="108"/>
    </row>
    <row r="2" spans="1:6" ht="15.6">
      <c r="A2" s="109" t="s">
        <v>54</v>
      </c>
      <c r="B2" s="110"/>
      <c r="C2" s="110"/>
      <c r="D2" s="110"/>
      <c r="E2" s="111"/>
      <c r="F2" s="108"/>
    </row>
    <row r="3" spans="1:6">
      <c r="A3" s="112" t="s">
        <v>16</v>
      </c>
      <c r="B3" s="113"/>
      <c r="C3" s="113"/>
      <c r="D3" s="114"/>
      <c r="E3" s="111"/>
      <c r="F3" s="108"/>
    </row>
    <row r="4" spans="1:6">
      <c r="A4" s="115"/>
      <c r="B4" s="116"/>
      <c r="C4" s="116"/>
      <c r="D4" s="117"/>
      <c r="E4" s="111"/>
      <c r="F4" s="108"/>
    </row>
    <row r="5" spans="1:6">
      <c r="A5" s="118" t="s">
        <v>55</v>
      </c>
      <c r="B5" s="119"/>
      <c r="C5" s="119"/>
      <c r="D5" s="119"/>
      <c r="E5" s="111"/>
      <c r="F5" s="108"/>
    </row>
    <row r="6" spans="1:6">
      <c r="A6" s="118" t="s">
        <v>56</v>
      </c>
      <c r="B6" s="119"/>
      <c r="C6" s="119"/>
      <c r="D6" s="119"/>
      <c r="E6" s="111"/>
      <c r="F6" s="108"/>
    </row>
    <row r="7" spans="1:6">
      <c r="A7" s="118" t="s">
        <v>57</v>
      </c>
      <c r="B7" s="119"/>
      <c r="C7" s="119"/>
      <c r="D7" s="119"/>
      <c r="E7" s="111"/>
      <c r="F7" s="108"/>
    </row>
    <row r="8" spans="1:6">
      <c r="A8" s="120"/>
      <c r="B8" s="121"/>
      <c r="C8" s="121"/>
      <c r="D8" s="121"/>
      <c r="E8" s="122"/>
      <c r="F8" s="108"/>
    </row>
    <row r="9" spans="1:6" ht="15.6">
      <c r="A9" s="123" t="s">
        <v>58</v>
      </c>
      <c r="B9" s="124"/>
      <c r="C9" s="124"/>
      <c r="D9" s="125"/>
      <c r="E9" s="126"/>
      <c r="F9" s="108"/>
    </row>
    <row r="10" spans="1:6">
      <c r="A10" s="118" t="s">
        <v>59</v>
      </c>
      <c r="B10" s="119"/>
      <c r="C10" s="119"/>
      <c r="D10" s="127" t="s">
        <v>60</v>
      </c>
      <c r="E10" s="128"/>
      <c r="F10" s="108"/>
    </row>
    <row r="11" spans="1:6">
      <c r="A11" s="129" t="s">
        <v>16</v>
      </c>
      <c r="B11" s="130"/>
      <c r="C11" s="130"/>
      <c r="D11" s="131" t="s">
        <v>61</v>
      </c>
      <c r="E11" s="132"/>
      <c r="F11" s="108"/>
    </row>
    <row r="12" spans="1:6">
      <c r="A12" s="129"/>
      <c r="B12" s="130"/>
      <c r="C12" s="130"/>
      <c r="D12" s="131" t="s">
        <v>57</v>
      </c>
      <c r="E12" s="132"/>
      <c r="F12" s="108"/>
    </row>
    <row r="13" spans="1:6">
      <c r="A13" s="118" t="s">
        <v>62</v>
      </c>
      <c r="B13" s="119"/>
      <c r="C13" s="119"/>
      <c r="D13" s="119" t="s">
        <v>63</v>
      </c>
      <c r="E13" s="133"/>
      <c r="F13" s="108"/>
    </row>
    <row r="14" spans="1:6">
      <c r="A14" s="118" t="s">
        <v>55</v>
      </c>
      <c r="B14" s="119"/>
      <c r="C14" s="119"/>
      <c r="D14" s="119"/>
      <c r="E14" s="133"/>
      <c r="F14" s="108"/>
    </row>
    <row r="15" spans="1:6">
      <c r="A15" s="120"/>
      <c r="B15" s="121"/>
      <c r="C15" s="121"/>
      <c r="D15" s="121"/>
      <c r="E15" s="122"/>
      <c r="F15" s="108"/>
    </row>
    <row r="16" spans="1:6">
      <c r="A16" s="134" t="s">
        <v>2</v>
      </c>
      <c r="B16" s="135" t="s">
        <v>15</v>
      </c>
      <c r="C16" s="135" t="s">
        <v>4</v>
      </c>
      <c r="D16" s="135" t="s">
        <v>3</v>
      </c>
      <c r="E16" s="136" t="s">
        <v>5</v>
      </c>
      <c r="F16" s="108"/>
    </row>
    <row r="17" spans="1:6" ht="15.6">
      <c r="A17" s="137" t="str">
        <f>IF(B17="","",ROW(A1))</f>
        <v/>
      </c>
      <c r="B17" s="157"/>
      <c r="C17" s="138"/>
      <c r="D17" s="138"/>
      <c r="E17" s="139" t="str">
        <f>IF(C17*D17,C17*D17,"")</f>
        <v/>
      </c>
      <c r="F17" s="108"/>
    </row>
    <row r="18" spans="1:6" ht="15.6">
      <c r="A18" s="137" t="str">
        <f t="shared" ref="A18:A31" si="0">IF(B18="","",ROW(A2))</f>
        <v/>
      </c>
      <c r="B18" s="157"/>
      <c r="C18" s="138"/>
      <c r="D18" s="138"/>
      <c r="E18" s="139" t="str">
        <f t="shared" ref="E18:E31" si="1">IF(C18*D18,C18*D18,"")</f>
        <v/>
      </c>
      <c r="F18" s="108"/>
    </row>
    <row r="19" spans="1:6" ht="15.6">
      <c r="A19" s="137" t="str">
        <f t="shared" si="0"/>
        <v/>
      </c>
      <c r="B19" s="157"/>
      <c r="C19" s="138"/>
      <c r="D19" s="138"/>
      <c r="E19" s="139" t="str">
        <f t="shared" si="1"/>
        <v/>
      </c>
      <c r="F19" s="108"/>
    </row>
    <row r="20" spans="1:6" ht="15.6">
      <c r="A20" s="137" t="str">
        <f t="shared" si="0"/>
        <v/>
      </c>
      <c r="B20" s="157"/>
      <c r="C20" s="138"/>
      <c r="D20" s="138"/>
      <c r="E20" s="139" t="str">
        <f t="shared" si="1"/>
        <v/>
      </c>
      <c r="F20" s="108"/>
    </row>
    <row r="21" spans="1:6" ht="15.6">
      <c r="A21" s="137" t="str">
        <f t="shared" si="0"/>
        <v/>
      </c>
      <c r="B21" s="157"/>
      <c r="C21" s="138"/>
      <c r="D21" s="138"/>
      <c r="E21" s="139" t="str">
        <f t="shared" si="1"/>
        <v/>
      </c>
      <c r="F21" s="108"/>
    </row>
    <row r="22" spans="1:6" ht="15.6">
      <c r="A22" s="137" t="str">
        <f t="shared" si="0"/>
        <v/>
      </c>
      <c r="B22" s="157"/>
      <c r="C22" s="138"/>
      <c r="D22" s="138"/>
      <c r="E22" s="139" t="str">
        <f t="shared" si="1"/>
        <v/>
      </c>
      <c r="F22" s="108"/>
    </row>
    <row r="23" spans="1:6" ht="15.6">
      <c r="A23" s="137" t="str">
        <f t="shared" si="0"/>
        <v/>
      </c>
      <c r="B23" s="157"/>
      <c r="C23" s="138"/>
      <c r="D23" s="138"/>
      <c r="E23" s="139" t="str">
        <f t="shared" si="1"/>
        <v/>
      </c>
      <c r="F23" s="108"/>
    </row>
    <row r="24" spans="1:6" ht="15.6">
      <c r="A24" s="137" t="str">
        <f t="shared" si="0"/>
        <v/>
      </c>
      <c r="B24" s="157"/>
      <c r="C24" s="138"/>
      <c r="D24" s="138"/>
      <c r="E24" s="139" t="str">
        <f t="shared" si="1"/>
        <v/>
      </c>
      <c r="F24" s="108"/>
    </row>
    <row r="25" spans="1:6" ht="15.6">
      <c r="A25" s="137" t="str">
        <f t="shared" si="0"/>
        <v/>
      </c>
      <c r="B25" s="157"/>
      <c r="C25" s="138"/>
      <c r="D25" s="138"/>
      <c r="E25" s="139" t="str">
        <f t="shared" si="1"/>
        <v/>
      </c>
      <c r="F25" s="108"/>
    </row>
    <row r="26" spans="1:6" ht="15.6">
      <c r="A26" s="137" t="str">
        <f t="shared" si="0"/>
        <v/>
      </c>
      <c r="B26" s="157"/>
      <c r="C26" s="138"/>
      <c r="D26" s="138"/>
      <c r="E26" s="139" t="str">
        <f t="shared" si="1"/>
        <v/>
      </c>
      <c r="F26" s="108"/>
    </row>
    <row r="27" spans="1:6" ht="15.6">
      <c r="A27" s="137" t="str">
        <f t="shared" si="0"/>
        <v/>
      </c>
      <c r="B27" s="157"/>
      <c r="C27" s="138"/>
      <c r="D27" s="138"/>
      <c r="E27" s="139" t="str">
        <f t="shared" si="1"/>
        <v/>
      </c>
      <c r="F27" s="108"/>
    </row>
    <row r="28" spans="1:6" ht="15.6">
      <c r="A28" s="137" t="str">
        <f t="shared" si="0"/>
        <v/>
      </c>
      <c r="B28" s="157"/>
      <c r="C28" s="138"/>
      <c r="D28" s="138"/>
      <c r="E28" s="139" t="str">
        <f t="shared" si="1"/>
        <v/>
      </c>
      <c r="F28" s="108"/>
    </row>
    <row r="29" spans="1:6" ht="15.6">
      <c r="A29" s="137" t="str">
        <f t="shared" si="0"/>
        <v/>
      </c>
      <c r="B29" s="157"/>
      <c r="C29" s="138"/>
      <c r="D29" s="138"/>
      <c r="E29" s="139" t="str">
        <f t="shared" si="1"/>
        <v/>
      </c>
      <c r="F29" s="108"/>
    </row>
    <row r="30" spans="1:6" ht="15.6">
      <c r="A30" s="137" t="str">
        <f t="shared" si="0"/>
        <v/>
      </c>
      <c r="B30" s="157"/>
      <c r="C30" s="138"/>
      <c r="D30" s="138"/>
      <c r="E30" s="139" t="str">
        <f t="shared" si="1"/>
        <v/>
      </c>
      <c r="F30" s="108"/>
    </row>
    <row r="31" spans="1:6" ht="16.2" thickBot="1">
      <c r="A31" s="137" t="str">
        <f t="shared" si="0"/>
        <v/>
      </c>
      <c r="B31" s="158"/>
      <c r="C31" s="140"/>
      <c r="D31" s="140"/>
      <c r="E31" s="139" t="str">
        <f t="shared" si="1"/>
        <v/>
      </c>
      <c r="F31" s="108"/>
    </row>
    <row r="32" spans="1:6">
      <c r="A32" s="141" t="s">
        <v>64</v>
      </c>
      <c r="B32" s="142"/>
      <c r="C32" s="143"/>
      <c r="D32" s="144" t="s">
        <v>17</v>
      </c>
      <c r="E32" s="145" t="str">
        <f>IF(SUM(E17:E31),(SUM(E17:E31)),"")</f>
        <v/>
      </c>
      <c r="F32" s="108"/>
    </row>
    <row r="33" spans="1:6">
      <c r="A33" s="146"/>
      <c r="B33" s="147"/>
      <c r="C33" s="148"/>
      <c r="D33" s="149" t="s">
        <v>6</v>
      </c>
      <c r="E33" s="139" t="str">
        <f>IFERROR(E32*9%,"")</f>
        <v/>
      </c>
      <c r="F33" s="108"/>
    </row>
    <row r="34" spans="1:6">
      <c r="A34" s="146"/>
      <c r="B34" s="147"/>
      <c r="C34" s="148"/>
      <c r="D34" s="149" t="s">
        <v>7</v>
      </c>
      <c r="E34" s="139" t="str">
        <f>E33</f>
        <v/>
      </c>
      <c r="F34" s="108"/>
    </row>
    <row r="35" spans="1:6" ht="15" thickBot="1">
      <c r="A35" s="150"/>
      <c r="B35" s="151"/>
      <c r="C35" s="152"/>
      <c r="D35" s="153" t="s">
        <v>8</v>
      </c>
      <c r="E35" s="154" t="str">
        <f>IFERROR(E32+E33+E34,"")</f>
        <v/>
      </c>
      <c r="F35" s="108"/>
    </row>
    <row r="36" spans="1:6">
      <c r="A36" s="108"/>
      <c r="B36" s="108"/>
      <c r="C36" s="108"/>
      <c r="D36" s="108"/>
      <c r="E36" s="108"/>
      <c r="F36" s="108"/>
    </row>
    <row r="37" spans="1:6">
      <c r="A37" s="108"/>
      <c r="B37" s="108"/>
      <c r="C37" s="108"/>
      <c r="D37" s="108"/>
      <c r="E37" s="108"/>
      <c r="F37" s="108"/>
    </row>
    <row r="38" spans="1:6">
      <c r="A38" s="108"/>
      <c r="B38" s="108"/>
      <c r="C38" s="108"/>
      <c r="D38" s="108"/>
      <c r="E38" s="108"/>
      <c r="F38" s="108"/>
    </row>
    <row r="39" spans="1:6">
      <c r="A39" s="108"/>
      <c r="B39" s="108"/>
      <c r="C39" s="108"/>
      <c r="D39" s="108"/>
      <c r="E39" s="108"/>
      <c r="F39" s="108"/>
    </row>
    <row r="40" spans="1:6">
      <c r="A40" s="108"/>
      <c r="B40" s="108"/>
      <c r="C40" s="108"/>
      <c r="D40" s="155" t="s">
        <v>50</v>
      </c>
      <c r="E40" s="155"/>
      <c r="F40" s="108"/>
    </row>
    <row r="41" spans="1:6">
      <c r="A41" s="108"/>
      <c r="B41" s="108"/>
      <c r="C41" s="108"/>
      <c r="D41" s="156" t="s">
        <v>65</v>
      </c>
      <c r="E41" s="156"/>
      <c r="F41" s="108"/>
    </row>
    <row r="42" spans="1:6">
      <c r="A42" s="108"/>
      <c r="B42" s="108"/>
      <c r="C42" s="108"/>
      <c r="D42" s="108"/>
      <c r="E42" s="108"/>
      <c r="F42" s="108"/>
    </row>
    <row r="43" spans="1:6">
      <c r="A43" s="108"/>
      <c r="B43" s="108"/>
      <c r="C43" s="108"/>
      <c r="D43" s="108"/>
      <c r="E43" s="108"/>
      <c r="F43" s="108"/>
    </row>
  </sheetData>
  <mergeCells count="21">
    <mergeCell ref="D41:E41"/>
    <mergeCell ref="A13:C13"/>
    <mergeCell ref="D13:E13"/>
    <mergeCell ref="A14:C14"/>
    <mergeCell ref="D14:E14"/>
    <mergeCell ref="A32:C32"/>
    <mergeCell ref="D40:E40"/>
    <mergeCell ref="A9:C9"/>
    <mergeCell ref="D9:E9"/>
    <mergeCell ref="A10:C10"/>
    <mergeCell ref="D10:E10"/>
    <mergeCell ref="A11:C12"/>
    <mergeCell ref="D11:E11"/>
    <mergeCell ref="D12:E12"/>
    <mergeCell ref="A1:E1"/>
    <mergeCell ref="A2:D2"/>
    <mergeCell ref="E2:E7"/>
    <mergeCell ref="A3:D4"/>
    <mergeCell ref="A5:D5"/>
    <mergeCell ref="A6:D6"/>
    <mergeCell ref="A7:D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zoomScale="85" zoomScaleNormal="85" zoomScalePageLayoutView="70" workbookViewId="0">
      <selection activeCell="C14" sqref="C14"/>
    </sheetView>
  </sheetViews>
  <sheetFormatPr defaultRowHeight="14.4"/>
  <cols>
    <col min="1" max="1" width="1.5546875" customWidth="1"/>
    <col min="2" max="2" width="7.5546875" customWidth="1"/>
    <col min="3" max="3" width="31.6640625" customWidth="1"/>
    <col min="4" max="4" width="10.77734375" customWidth="1"/>
    <col min="5" max="5" width="8.6640625" customWidth="1"/>
    <col min="6" max="6" width="9.5546875" customWidth="1"/>
    <col min="7" max="7" width="12.77734375" customWidth="1"/>
  </cols>
  <sheetData>
    <row r="1" spans="1:8" ht="13.2" customHeight="1" thickBot="1">
      <c r="A1" s="3"/>
      <c r="B1" s="44"/>
      <c r="C1" s="44"/>
      <c r="D1" s="44"/>
      <c r="E1" s="44"/>
      <c r="F1" s="44"/>
      <c r="G1" s="44"/>
      <c r="H1" s="3"/>
    </row>
    <row r="2" spans="1:8" ht="27" customHeight="1" thickBot="1">
      <c r="B2" s="45" t="s">
        <v>24</v>
      </c>
      <c r="C2" s="46"/>
      <c r="D2" s="46"/>
      <c r="E2" s="46"/>
      <c r="F2" s="46"/>
      <c r="G2" s="47"/>
      <c r="H2" s="6"/>
    </row>
    <row r="3" spans="1:8" ht="14.4" customHeight="1">
      <c r="B3" s="60" t="s">
        <v>25</v>
      </c>
      <c r="C3" s="61"/>
      <c r="D3" s="55" t="s">
        <v>31</v>
      </c>
      <c r="E3" s="56"/>
      <c r="F3" s="55" t="s">
        <v>32</v>
      </c>
      <c r="G3" s="56"/>
      <c r="H3" s="4"/>
    </row>
    <row r="4" spans="1:8" ht="15.6" customHeight="1">
      <c r="B4" s="62" t="s">
        <v>26</v>
      </c>
      <c r="C4" s="63"/>
      <c r="D4" s="57"/>
      <c r="E4" s="58"/>
      <c r="F4" s="57"/>
      <c r="G4" s="58"/>
      <c r="H4" s="7"/>
    </row>
    <row r="5" spans="1:8">
      <c r="B5" s="64" t="s">
        <v>27</v>
      </c>
      <c r="C5" s="65"/>
      <c r="D5" s="91" t="s">
        <v>35</v>
      </c>
      <c r="E5" s="92"/>
      <c r="F5" s="93">
        <f ca="1">TODAY()</f>
        <v>45919</v>
      </c>
      <c r="G5" s="94"/>
      <c r="H5" s="7"/>
    </row>
    <row r="6" spans="1:8" ht="15" thickBot="1">
      <c r="B6" s="64" t="s">
        <v>28</v>
      </c>
      <c r="C6" s="65"/>
      <c r="D6" s="95"/>
      <c r="E6" s="96"/>
      <c r="F6" s="97"/>
      <c r="G6" s="98"/>
      <c r="H6" s="7"/>
    </row>
    <row r="7" spans="1:8">
      <c r="B7" s="39"/>
      <c r="C7" s="40"/>
      <c r="D7" s="41" t="s">
        <v>33</v>
      </c>
      <c r="E7" s="42"/>
      <c r="F7" s="42"/>
      <c r="G7" s="43"/>
      <c r="H7" s="4"/>
    </row>
    <row r="8" spans="1:8">
      <c r="B8" s="14" t="s">
        <v>52</v>
      </c>
      <c r="C8" s="18"/>
      <c r="D8" s="99" t="s">
        <v>34</v>
      </c>
      <c r="E8" s="100"/>
      <c r="F8" s="100"/>
      <c r="G8" s="101"/>
      <c r="H8" s="2"/>
    </row>
    <row r="9" spans="1:8" ht="15" thickBot="1">
      <c r="B9" s="19" t="s">
        <v>53</v>
      </c>
      <c r="C9" s="20"/>
      <c r="D9" s="102"/>
      <c r="E9" s="103"/>
      <c r="F9" s="103"/>
      <c r="G9" s="104"/>
      <c r="H9" s="2"/>
    </row>
    <row r="10" spans="1:8">
      <c r="B10" s="48" t="s">
        <v>29</v>
      </c>
      <c r="C10" s="49"/>
      <c r="D10" s="52" t="s">
        <v>30</v>
      </c>
      <c r="E10" s="53"/>
      <c r="F10" s="53"/>
      <c r="G10" s="54"/>
      <c r="H10" s="9"/>
    </row>
    <row r="11" spans="1:8">
      <c r="B11" s="88" t="s">
        <v>38</v>
      </c>
      <c r="C11" s="89"/>
      <c r="D11" s="88" t="s">
        <v>38</v>
      </c>
      <c r="E11" s="90"/>
      <c r="F11" s="90"/>
      <c r="G11" s="89"/>
      <c r="H11" s="9"/>
    </row>
    <row r="12" spans="1:8" ht="44.4" customHeight="1" thickBot="1">
      <c r="B12" s="50" t="s">
        <v>39</v>
      </c>
      <c r="C12" s="51"/>
      <c r="D12" s="50" t="s">
        <v>39</v>
      </c>
      <c r="E12" s="59"/>
      <c r="F12" s="59"/>
      <c r="G12" s="51"/>
      <c r="H12" s="8"/>
    </row>
    <row r="13" spans="1:8">
      <c r="B13" s="21" t="s">
        <v>36</v>
      </c>
      <c r="C13" s="22" t="s">
        <v>15</v>
      </c>
      <c r="D13" s="22" t="s">
        <v>37</v>
      </c>
      <c r="E13" s="22" t="s">
        <v>4</v>
      </c>
      <c r="F13" s="22" t="s">
        <v>3</v>
      </c>
      <c r="G13" s="23" t="s">
        <v>5</v>
      </c>
      <c r="H13" s="5"/>
    </row>
    <row r="14" spans="1:8">
      <c r="B14" s="15">
        <f>IF(C14="","",ROW(B1))</f>
        <v>1</v>
      </c>
      <c r="C14" s="11" t="s">
        <v>40</v>
      </c>
      <c r="D14" s="10"/>
      <c r="E14" s="12">
        <v>12</v>
      </c>
      <c r="F14" s="12">
        <v>7200</v>
      </c>
      <c r="G14" s="16">
        <f>IF(E14*F14,E14*F14,"")</f>
        <v>86400</v>
      </c>
    </row>
    <row r="15" spans="1:8">
      <c r="B15" s="15">
        <f t="shared" ref="B15:B23" si="0">IF(C15="","",ROW(B2))</f>
        <v>2</v>
      </c>
      <c r="C15" s="11" t="s">
        <v>41</v>
      </c>
      <c r="D15" s="10"/>
      <c r="E15" s="12">
        <v>12</v>
      </c>
      <c r="F15" s="12">
        <v>5820</v>
      </c>
      <c r="G15" s="16">
        <f t="shared" ref="G15:G23" si="1">IF(E15*F15,E15*F15,"")</f>
        <v>69840</v>
      </c>
    </row>
    <row r="16" spans="1:8">
      <c r="B16" s="15">
        <f t="shared" si="0"/>
        <v>3</v>
      </c>
      <c r="C16" s="11" t="s">
        <v>44</v>
      </c>
      <c r="D16" s="10"/>
      <c r="E16" s="12">
        <v>12</v>
      </c>
      <c r="F16" s="12">
        <v>1575</v>
      </c>
      <c r="G16" s="16">
        <f>IF(E16*F16,E16*F16,"")</f>
        <v>18900</v>
      </c>
    </row>
    <row r="17" spans="2:7">
      <c r="B17" s="15">
        <f t="shared" si="0"/>
        <v>4</v>
      </c>
      <c r="C17" s="11" t="s">
        <v>45</v>
      </c>
      <c r="D17" s="10"/>
      <c r="E17" s="12">
        <v>12</v>
      </c>
      <c r="F17" s="12">
        <v>17500</v>
      </c>
      <c r="G17" s="16">
        <f t="shared" si="1"/>
        <v>210000</v>
      </c>
    </row>
    <row r="18" spans="2:7">
      <c r="B18" s="15">
        <f t="shared" si="0"/>
        <v>5</v>
      </c>
      <c r="C18" s="11" t="s">
        <v>43</v>
      </c>
      <c r="D18" s="10"/>
      <c r="E18" s="12">
        <v>12</v>
      </c>
      <c r="F18" s="12">
        <v>2750</v>
      </c>
      <c r="G18" s="16">
        <f t="shared" si="1"/>
        <v>33000</v>
      </c>
    </row>
    <row r="19" spans="2:7">
      <c r="B19" s="15" t="str">
        <f t="shared" si="0"/>
        <v/>
      </c>
      <c r="C19" s="11"/>
      <c r="D19" s="10"/>
      <c r="E19" s="12"/>
      <c r="F19" s="12"/>
      <c r="G19" s="16" t="str">
        <f t="shared" si="1"/>
        <v/>
      </c>
    </row>
    <row r="20" spans="2:7">
      <c r="B20" s="15" t="str">
        <f t="shared" si="0"/>
        <v/>
      </c>
      <c r="C20" s="11"/>
      <c r="D20" s="10"/>
      <c r="E20" s="12"/>
      <c r="F20" s="12"/>
      <c r="G20" s="16" t="str">
        <f t="shared" si="1"/>
        <v/>
      </c>
    </row>
    <row r="21" spans="2:7">
      <c r="B21" s="15" t="str">
        <f t="shared" si="0"/>
        <v/>
      </c>
      <c r="C21" s="11"/>
      <c r="D21" s="10"/>
      <c r="E21" s="12"/>
      <c r="F21" s="12"/>
      <c r="G21" s="16" t="str">
        <f t="shared" si="1"/>
        <v/>
      </c>
    </row>
    <row r="22" spans="2:7">
      <c r="B22" s="15" t="str">
        <f t="shared" si="0"/>
        <v/>
      </c>
      <c r="C22" s="11"/>
      <c r="D22" s="10"/>
      <c r="E22" s="12"/>
      <c r="F22" s="12"/>
      <c r="G22" s="16" t="str">
        <f t="shared" si="1"/>
        <v/>
      </c>
    </row>
    <row r="23" spans="2:7" ht="15" thickBot="1">
      <c r="B23" s="27" t="str">
        <f t="shared" si="0"/>
        <v/>
      </c>
      <c r="C23" s="28"/>
      <c r="D23" s="29"/>
      <c r="E23" s="24"/>
      <c r="F23" s="24"/>
      <c r="G23" s="25" t="str">
        <f t="shared" si="1"/>
        <v/>
      </c>
    </row>
    <row r="24" spans="2:7">
      <c r="B24" s="72" t="s">
        <v>48</v>
      </c>
      <c r="C24" s="73"/>
      <c r="D24" s="74"/>
      <c r="E24" s="66" t="s">
        <v>42</v>
      </c>
      <c r="F24" s="67"/>
      <c r="G24" s="26">
        <f>SUM(G14:G23)</f>
        <v>418140</v>
      </c>
    </row>
    <row r="25" spans="2:7">
      <c r="B25" s="75" t="s">
        <v>49</v>
      </c>
      <c r="C25" s="76"/>
      <c r="D25" s="77"/>
      <c r="E25" s="68" t="s">
        <v>46</v>
      </c>
      <c r="F25" s="69"/>
      <c r="G25" s="16">
        <f>G24*9%</f>
        <v>37632.6</v>
      </c>
    </row>
    <row r="26" spans="2:7">
      <c r="B26" s="75"/>
      <c r="C26" s="76"/>
      <c r="D26" s="77"/>
      <c r="E26" s="68" t="s">
        <v>47</v>
      </c>
      <c r="F26" s="69"/>
      <c r="G26" s="16">
        <f>G25</f>
        <v>37632.6</v>
      </c>
    </row>
    <row r="27" spans="2:7" ht="15" thickBot="1">
      <c r="B27" s="50"/>
      <c r="C27" s="59"/>
      <c r="D27" s="51"/>
      <c r="E27" s="70" t="s">
        <v>8</v>
      </c>
      <c r="F27" s="71"/>
      <c r="G27" s="17">
        <f>G24+G25+G26</f>
        <v>493405.19999999995</v>
      </c>
    </row>
    <row r="28" spans="2:7">
      <c r="B28" s="13"/>
      <c r="C28" s="13"/>
      <c r="D28" s="13"/>
      <c r="E28" s="13"/>
      <c r="F28" s="13"/>
      <c r="G28" s="13"/>
    </row>
    <row r="29" spans="2:7">
      <c r="B29" s="13"/>
      <c r="C29" s="13"/>
      <c r="D29" s="13"/>
      <c r="E29" s="13"/>
    </row>
    <row r="30" spans="2:7">
      <c r="B30" s="13"/>
      <c r="C30" s="13"/>
      <c r="D30" s="13"/>
      <c r="E30" s="82" t="s">
        <v>51</v>
      </c>
      <c r="F30" s="83"/>
      <c r="G30" s="84"/>
    </row>
    <row r="31" spans="2:7">
      <c r="B31" s="13"/>
      <c r="C31" s="13"/>
      <c r="D31" s="13"/>
      <c r="E31" s="85"/>
      <c r="F31" s="86"/>
      <c r="G31" s="87"/>
    </row>
    <row r="32" spans="2:7">
      <c r="B32" s="13"/>
      <c r="C32" s="13"/>
      <c r="D32" s="13"/>
      <c r="E32" s="85"/>
      <c r="F32" s="86"/>
      <c r="G32" s="87"/>
    </row>
    <row r="33" spans="2:7">
      <c r="B33" s="13"/>
      <c r="C33" s="13"/>
      <c r="D33" s="13"/>
      <c r="E33" s="85"/>
      <c r="F33" s="86"/>
      <c r="G33" s="87"/>
    </row>
    <row r="34" spans="2:7">
      <c r="B34" s="13"/>
      <c r="C34" s="13"/>
      <c r="D34" s="13"/>
      <c r="E34" s="79" t="s">
        <v>10</v>
      </c>
      <c r="F34" s="80"/>
      <c r="G34" s="81"/>
    </row>
    <row r="35" spans="2:7">
      <c r="B35" s="13"/>
      <c r="C35" s="13"/>
      <c r="D35" s="13"/>
      <c r="E35" s="78"/>
      <c r="F35" s="78"/>
      <c r="G35" s="78"/>
    </row>
    <row r="36" spans="2:7">
      <c r="B36" s="13"/>
      <c r="C36" s="13"/>
      <c r="D36" s="13"/>
      <c r="E36" s="13"/>
      <c r="F36" s="13"/>
      <c r="G36" s="13"/>
    </row>
    <row r="37" spans="2:7">
      <c r="B37" s="13"/>
      <c r="C37" s="13"/>
      <c r="D37" s="13"/>
      <c r="E37" s="13"/>
      <c r="F37" s="13"/>
      <c r="G37" s="13"/>
    </row>
    <row r="38" spans="2:7">
      <c r="B38" s="13"/>
      <c r="C38" s="13"/>
      <c r="D38" s="13"/>
      <c r="E38" s="13"/>
      <c r="F38" s="13"/>
      <c r="G38" s="13"/>
    </row>
  </sheetData>
  <mergeCells count="27">
    <mergeCell ref="E30:G33"/>
    <mergeCell ref="E34:G34"/>
    <mergeCell ref="E24:F24"/>
    <mergeCell ref="E25:F25"/>
    <mergeCell ref="E26:F26"/>
    <mergeCell ref="E27:F27"/>
    <mergeCell ref="B11:C11"/>
    <mergeCell ref="B24:D24"/>
    <mergeCell ref="B25:D27"/>
    <mergeCell ref="B10:C10"/>
    <mergeCell ref="B12:C12"/>
    <mergeCell ref="D10:G10"/>
    <mergeCell ref="D3:E4"/>
    <mergeCell ref="D5:E6"/>
    <mergeCell ref="F3:G4"/>
    <mergeCell ref="F5:G6"/>
    <mergeCell ref="D12:G12"/>
    <mergeCell ref="B3:C3"/>
    <mergeCell ref="B4:C4"/>
    <mergeCell ref="B5:C5"/>
    <mergeCell ref="B6:C6"/>
    <mergeCell ref="D11:G11"/>
    <mergeCell ref="B7:C7"/>
    <mergeCell ref="D7:G7"/>
    <mergeCell ref="D8:G9"/>
    <mergeCell ref="B1:G1"/>
    <mergeCell ref="B2:G2"/>
  </mergeCells>
  <pageMargins left="0.75" right="0.7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2025-09-19T10:33:01Z</cp:lastPrinted>
  <dcterms:created xsi:type="dcterms:W3CDTF">2025-09-08T04:13:59Z</dcterms:created>
  <dcterms:modified xsi:type="dcterms:W3CDTF">2025-09-19T10:37:34Z</dcterms:modified>
</cp:coreProperties>
</file>